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74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<sst xmlns="http://schemas.openxmlformats.org/spreadsheetml/2006/main" count="44" uniqueCount="34">
  <si>
    <r>
      <rPr>
        <sz val="25"/>
        <color rgb="FFFFFFFF"/>
        <rFont val="宋体"/>
        <charset val="134"/>
      </rPr>
      <t>Ambassador Marketing Sheet</t>
    </r>
    <r>
      <rPr>
        <sz val="25"/>
        <color rgb="FF000000"/>
        <rFont val="宋体"/>
        <charset val="134"/>
      </rPr>
      <t xml:space="preserve"> </t>
    </r>
    <r>
      <rPr>
        <sz val="25"/>
        <color rgb="FFFFFFFF"/>
        <rFont val="宋体"/>
        <charset val="134"/>
      </rPr>
      <t>(Raw Data)</t>
    </r>
  </si>
  <si>
    <r>
      <rPr>
        <sz val="10"/>
        <color rgb="FF000000"/>
        <rFont val="宋体"/>
        <charset val="134"/>
      </rPr>
      <t xml:space="preserve">Your manager has asked you to analyze performance data from last quarter’s ambassador campaigns. Below is a fictional dataset outlining key metrics across eight different marketing channels.
</t>
    </r>
    <r>
      <rPr>
        <sz val="10"/>
        <color rgb="FF000000"/>
        <rFont val="宋体"/>
        <charset val="134"/>
      </rPr>
      <t xml:space="preserve">
</t>
    </r>
    <r>
      <rPr>
        <sz val="10"/>
        <color rgb="FF000000"/>
        <rFont val="宋体"/>
        <charset val="134"/>
      </rPr>
      <t>💡 Your task is to calculate three important marketing metrics for each campaign:</t>
    </r>
    <r>
      <rPr>
        <sz val="10"/>
        <color rgb="FF000000"/>
        <rFont val="宋体"/>
        <charset val="134"/>
      </rPr>
      <t xml:space="preserve">
</t>
    </r>
    <r>
      <rPr>
        <sz val="10"/>
        <color rgb="FF000000"/>
        <rFont val="宋体"/>
        <charset val="134"/>
      </rPr>
      <t xml:space="preserve">
</t>
    </r>
    <r>
      <rPr>
        <sz val="10"/>
        <color rgb="FF000000"/>
        <rFont val="宋体"/>
        <charset val="134"/>
      </rPr>
      <t>Conversion Rate = Conversions ÷ Leads</t>
    </r>
    <r>
      <rPr>
        <sz val="10"/>
        <color rgb="FF000000"/>
        <rFont val="宋体"/>
        <charset val="134"/>
      </rPr>
      <t xml:space="preserve">
</t>
    </r>
    <r>
      <rPr>
        <sz val="10"/>
        <color rgb="FF000000"/>
        <rFont val="宋体"/>
        <charset val="134"/>
      </rPr>
      <t>Customer Acquisition Cost (CAC) = Spend ÷ Conversions</t>
    </r>
    <r>
      <rPr>
        <sz val="10"/>
        <color rgb="FF000000"/>
        <rFont val="宋体"/>
        <charset val="134"/>
      </rPr>
      <t xml:space="preserve">
</t>
    </r>
    <r>
      <rPr>
        <sz val="10"/>
        <color rgb="FF000000"/>
        <rFont val="宋体"/>
        <charset val="134"/>
      </rPr>
      <t>Return on Investment (ROI) = (Revenue − Spend) ÷ Spend</t>
    </r>
    <r>
      <rPr>
        <sz val="10"/>
        <color rgb="FF000000"/>
        <rFont val="宋体"/>
        <charset val="134"/>
      </rPr>
      <t xml:space="preserve">
</t>
    </r>
    <r>
      <rPr>
        <sz val="10"/>
        <color rgb="FF000000"/>
        <rFont val="宋体"/>
        <charset val="134"/>
      </rPr>
      <t xml:space="preserve">
</t>
    </r>
    <r>
      <rPr>
        <sz val="10"/>
        <color rgb="FF000000"/>
        <rFont val="宋体"/>
        <charset val="134"/>
      </rPr>
      <t>Once you've filled in the missing data, calculate the average, minimum, and maximum values for each of the three calculated metrics. These will help your team decide which channels are the most effective for recruiting new ambassadors and maximizing ROI.</t>
    </r>
    <r>
      <rPr>
        <sz val="10"/>
        <color rgb="FF000000"/>
        <rFont val="宋体"/>
        <charset val="134"/>
      </rPr>
      <t xml:space="preserve">
</t>
    </r>
    <r>
      <rPr>
        <sz val="10"/>
        <color rgb="FF000000"/>
        <rFont val="宋体"/>
        <charset val="134"/>
      </rPr>
      <t xml:space="preserve">
</t>
    </r>
    <r>
      <rPr>
        <sz val="10"/>
        <color rgb="FF000000"/>
        <rFont val="宋体"/>
        <charset val="134"/>
      </rPr>
      <t>When you're ready, download the dataset below and complete your analysis.</t>
    </r>
    <r>
      <rPr>
        <sz val="10"/>
        <color rgb="FF000000"/>
        <rFont val="宋体"/>
        <charset val="134"/>
      </rPr>
      <t xml:space="preserve">
</t>
    </r>
  </si>
  <si>
    <t>Campaign Channel</t>
  </si>
  <si>
    <t>Spend (USD)</t>
  </si>
  <si>
    <t>Reach</t>
  </si>
  <si>
    <t>Leads</t>
  </si>
  <si>
    <t>Conversions</t>
  </si>
  <si>
    <t>Revenue (USD)</t>
  </si>
  <si>
    <t>Instagram Ads</t>
  </si>
  <si>
    <t>YouTube Sponsorships</t>
  </si>
  <si>
    <t>TikTok Campaign</t>
  </si>
  <si>
    <t>In-Person Events</t>
  </si>
  <si>
    <t>Email Newsletter</t>
  </si>
  <si>
    <t>Facebook Ads</t>
  </si>
  <si>
    <t>Influencer Collab</t>
  </si>
  <si>
    <t>Blog Partnerships</t>
  </si>
  <si>
    <t>Conversion Rate</t>
  </si>
  <si>
    <t>Customer Acquisition Cost (CAC)</t>
  </si>
  <si>
    <t>Return on Investment (ROI)</t>
  </si>
  <si>
    <t>=(9600−5200)/5200</t>
  </si>
  <si>
    <t>=(12300−6800)/6800</t>
  </si>
  <si>
    <t>=(15000−4500)/4500</t>
  </si>
  <si>
    <t>=(11200−7500)/7500</t>
  </si>
  <si>
    <t>=(5400−2000)/2000</t>
  </si>
  <si>
    <t>=(6800−3900)/3900</t>
  </si>
  <si>
    <t>=(10700−5700)/5700</t>
  </si>
  <si>
    <t>=(3900−2800)/2800</t>
  </si>
  <si>
    <t>Summary</t>
  </si>
  <si>
    <t>Summary Metric</t>
  </si>
  <si>
    <t>CAC</t>
  </si>
  <si>
    <t>ROI</t>
  </si>
  <si>
    <t>Average</t>
  </si>
  <si>
    <t>Minimum</t>
  </si>
  <si>
    <t>Maximum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</si>
</sst>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8" formatCode="&quot;$&quot;#,##0.00_);[Red]\(&quot;$&quot;#,##0.0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2"/>
      <color indexed="8"/>
      <name val="Calibri"/>
      <charset val="134"/>
      <scheme val="minor"/>
    </font>
    <font>
      <sz val="25"/>
      <name val="Calibri"/>
      <charset val="134"/>
    </font>
    <font>
      <sz val="10"/>
      <name val="Calibri"/>
      <charset val="134"/>
    </font>
    <font>
      <b/>
      <sz val="12"/>
      <color rgb="FFFFFFFF"/>
      <name val="Calibri"/>
      <charset val="134"/>
    </font>
    <font>
      <b/>
      <sz val="10"/>
      <name val="Calibri"/>
      <charset val="134"/>
    </font>
    <font>
      <b/>
      <sz val="14"/>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25"/>
      <color rgb="FFFFFFFF"/>
      <name val="宋体"/>
      <charset val="134"/>
    </font>
    <font>
      <sz val="25"/>
      <color rgb="FF000000"/>
      <name val="宋体"/>
      <charset val="134"/>
    </font>
    <font>
      <sz val="10"/>
      <color rgb="FF000000"/>
      <name val="宋体"/>
      <charset val="134"/>
    </font>
  </fonts>
  <fills count="35">
    <fill>
      <patternFill patternType="none"/>
    </fill>
    <fill>
      <patternFill patternType="gray125"/>
    </fill>
    <fill>
      <patternFill patternType="solid">
        <fgColor rgb="FF144C8B"/>
        <bgColor indexed="64"/>
      </patternFill>
    </fill>
    <fill>
      <patternFill patternType="solid">
        <fgColor rgb="FFBAF0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FFFFFF"/>
      </left>
      <right style="thin">
        <color rgb="FFFFFFFF"/>
      </right>
      <top style="thin">
        <color rgb="FFFFFFFF"/>
      </top>
      <bottom style="thin">
        <color rgb="FFFFFFFF"/>
      </bottom>
      <diagonal/>
    </border>
    <border>
      <left style="thin">
        <color rgb="FF144C8B"/>
      </left>
      <right style="thin">
        <color rgb="FF144C8B"/>
      </right>
      <top/>
      <bottom style="thin">
        <color rgb="FF144C8B"/>
      </bottom>
      <diagonal/>
    </border>
    <border>
      <left style="thin">
        <color rgb="FF144C8B"/>
      </left>
      <right style="thin">
        <color rgb="FF144C8B"/>
      </right>
      <top style="thin">
        <color rgb="FF144C8B"/>
      </top>
      <bottom style="thin">
        <color rgb="FF144C8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5" borderId="7" applyNumberFormat="0" applyAlignment="0" applyProtection="0">
      <alignment vertical="center"/>
    </xf>
    <xf numFmtId="0" fontId="16" fillId="6" borderId="8" applyNumberFormat="0" applyAlignment="0" applyProtection="0">
      <alignment vertical="center"/>
    </xf>
    <xf numFmtId="0" fontId="17" fillId="6" borderId="7" applyNumberFormat="0" applyAlignment="0" applyProtection="0">
      <alignment vertical="center"/>
    </xf>
    <xf numFmtId="0" fontId="18" fillId="7"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9">
    <xf numFmtId="0" fontId="0" fillId="0" borderId="0" xfId="0" applyFont="1">
      <alignment vertical="center"/>
    </xf>
    <xf numFmtId="0" fontId="1" fillId="2" borderId="0" xfId="0" applyFont="1" applyFill="1" applyAlignment="1">
      <alignment wrapText="1"/>
    </xf>
    <xf numFmtId="0" fontId="2" fillId="0" borderId="0" xfId="0" applyFont="1" applyAlignment="1"/>
    <xf numFmtId="0" fontId="2" fillId="0" borderId="0" xfId="0" applyFont="1" applyAlignment="1">
      <alignment wrapText="1"/>
    </xf>
    <xf numFmtId="0" fontId="3" fillId="2" borderId="1" xfId="0" applyFont="1" applyFill="1" applyBorder="1" applyAlignment="1"/>
    <xf numFmtId="0" fontId="4" fillId="0" borderId="2" xfId="0" applyFont="1" applyBorder="1" applyAlignment="1"/>
    <xf numFmtId="0" fontId="2" fillId="0" borderId="2" xfId="0" applyFont="1" applyBorder="1" applyAlignment="1"/>
    <xf numFmtId="0" fontId="4" fillId="3" borderId="3" xfId="0" applyFont="1" applyFill="1" applyBorder="1" applyAlignment="1"/>
    <xf numFmtId="0" fontId="2" fillId="3" borderId="3" xfId="0" applyFont="1" applyFill="1" applyBorder="1" applyAlignment="1"/>
    <xf numFmtId="0" fontId="4" fillId="0" borderId="3" xfId="0" applyFont="1" applyBorder="1" applyAlignment="1"/>
    <xf numFmtId="0" fontId="2" fillId="0" borderId="3" xfId="0" applyFont="1" applyBorder="1" applyAlignment="1"/>
    <xf numFmtId="0" fontId="3" fillId="2" borderId="3" xfId="0" applyFont="1" applyFill="1" applyBorder="1" applyAlignment="1"/>
    <xf numFmtId="0" fontId="5" fillId="0" borderId="0" xfId="0" applyFont="1" applyAlignment="1"/>
    <xf numFmtId="10" fontId="2" fillId="0" borderId="2" xfId="0" applyNumberFormat="1" applyFont="1" applyBorder="1" applyAlignment="1"/>
    <xf numFmtId="8" fontId="2" fillId="0" borderId="2" xfId="0" applyNumberFormat="1" applyFont="1" applyBorder="1" applyAlignment="1"/>
    <xf numFmtId="10" fontId="2" fillId="3" borderId="3" xfId="0" applyNumberFormat="1" applyFont="1" applyFill="1" applyBorder="1" applyAlignment="1"/>
    <xf numFmtId="8" fontId="2" fillId="3" borderId="3" xfId="0" applyNumberFormat="1" applyFont="1" applyFill="1" applyBorder="1" applyAlignment="1"/>
    <xf numFmtId="10" fontId="2" fillId="0" borderId="3" xfId="0" applyNumberFormat="1" applyFont="1" applyBorder="1" applyAlignment="1"/>
    <xf numFmtId="8" fontId="2" fillId="0" borderId="3" xfId="0" applyNumberFormat="1"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
  <sheetViews>
    <sheetView tabSelected="1" topLeftCell="B20" workbookViewId="0">
      <selection activeCell="E28" sqref="E28"/>
    </sheetView>
  </sheetViews>
  <sheetFormatPr defaultColWidth="17" defaultRowHeight="33" customHeight="1"/>
  <cols>
    <col min="1" max="1" width="69" customWidth="1"/>
    <col min="2" max="2" width="21.0333333333333" customWidth="1"/>
    <col min="3" max="3" width="26.0333333333333" customWidth="1"/>
    <col min="4" max="4" width="33.8416666666667" customWidth="1"/>
    <col min="5" max="5" width="32.9083333333333" customWidth="1"/>
    <col min="6" max="26" width="16.5" customWidth="1"/>
  </cols>
  <sheetData>
    <row r="1" ht="81" customHeight="1" spans="1:26">
      <c r="A1" s="1" t="s">
        <v>0</v>
      </c>
      <c r="B1" s="2"/>
      <c r="C1" s="2"/>
      <c r="D1" s="2"/>
      <c r="E1" s="2"/>
      <c r="F1" s="2"/>
      <c r="G1" s="2"/>
      <c r="H1" s="2"/>
      <c r="I1" s="2"/>
      <c r="J1" s="2"/>
      <c r="K1" s="2"/>
      <c r="L1" s="2"/>
      <c r="M1" s="2"/>
      <c r="N1" s="2"/>
      <c r="O1" s="2"/>
      <c r="P1" s="2"/>
      <c r="Q1" s="2"/>
      <c r="R1" s="2"/>
      <c r="S1" s="2"/>
      <c r="T1" s="2"/>
      <c r="U1" s="2"/>
      <c r="V1" s="2"/>
      <c r="W1" s="2"/>
      <c r="X1" s="2"/>
      <c r="Y1" s="2"/>
      <c r="Z1" s="2"/>
    </row>
    <row r="2" ht="241.5" customHeight="1" spans="1:26">
      <c r="A2" s="3" t="s">
        <v>1</v>
      </c>
      <c r="B2" s="2"/>
      <c r="C2" s="2"/>
      <c r="D2" s="2"/>
      <c r="E2" s="2"/>
      <c r="F2" s="2"/>
      <c r="G2" s="2"/>
      <c r="H2" s="2"/>
      <c r="I2" s="2"/>
      <c r="J2" s="2"/>
      <c r="K2" s="2"/>
      <c r="L2" s="2"/>
      <c r="M2" s="2"/>
      <c r="N2" s="2"/>
      <c r="O2" s="2"/>
      <c r="P2" s="2"/>
      <c r="Q2" s="2"/>
      <c r="R2" s="2"/>
      <c r="S2" s="2"/>
      <c r="T2" s="2"/>
      <c r="U2" s="2"/>
      <c r="V2" s="2"/>
      <c r="W2" s="2"/>
      <c r="X2" s="2"/>
      <c r="Y2" s="2"/>
      <c r="Z2" s="2"/>
    </row>
    <row r="3" customHeight="1" spans="1:26">
      <c r="A3" s="2"/>
      <c r="B3" s="4" t="s">
        <v>2</v>
      </c>
      <c r="C3" s="4" t="s">
        <v>3</v>
      </c>
      <c r="D3" s="4" t="s">
        <v>4</v>
      </c>
      <c r="E3" s="4" t="s">
        <v>5</v>
      </c>
      <c r="F3" s="4" t="s">
        <v>6</v>
      </c>
      <c r="G3" s="4" t="s">
        <v>7</v>
      </c>
      <c r="H3" s="2"/>
      <c r="I3" s="2"/>
      <c r="J3" s="2"/>
      <c r="K3" s="2"/>
      <c r="L3" s="2"/>
      <c r="M3" s="2"/>
      <c r="N3" s="2"/>
      <c r="O3" s="2"/>
      <c r="P3" s="2"/>
      <c r="Q3" s="2"/>
      <c r="R3" s="2"/>
      <c r="S3" s="2"/>
      <c r="T3" s="2"/>
      <c r="U3" s="2"/>
      <c r="V3" s="2"/>
      <c r="W3" s="2"/>
      <c r="X3" s="2"/>
      <c r="Y3" s="2"/>
      <c r="Z3" s="2"/>
    </row>
    <row r="4" customHeight="1" spans="1:26">
      <c r="A4" s="2"/>
      <c r="B4" s="5" t="s">
        <v>8</v>
      </c>
      <c r="C4" s="6">
        <v>5200</v>
      </c>
      <c r="D4" s="6">
        <v>18000</v>
      </c>
      <c r="E4" s="6">
        <v>1400</v>
      </c>
      <c r="F4" s="6">
        <v>320</v>
      </c>
      <c r="G4" s="6">
        <v>9600</v>
      </c>
      <c r="H4" s="2"/>
      <c r="I4" s="2"/>
      <c r="J4" s="2"/>
      <c r="K4" s="2"/>
      <c r="L4" s="2"/>
      <c r="M4" s="2"/>
      <c r="N4" s="2"/>
      <c r="O4" s="2"/>
      <c r="P4" s="2"/>
      <c r="Q4" s="2"/>
      <c r="R4" s="2"/>
      <c r="S4" s="2"/>
      <c r="T4" s="2"/>
      <c r="U4" s="2"/>
      <c r="V4" s="2"/>
      <c r="W4" s="2"/>
      <c r="X4" s="2"/>
      <c r="Y4" s="2"/>
      <c r="Z4" s="2"/>
    </row>
    <row r="5" customHeight="1" spans="1:26">
      <c r="A5" s="2"/>
      <c r="B5" s="7" t="s">
        <v>9</v>
      </c>
      <c r="C5" s="8">
        <v>6800</v>
      </c>
      <c r="D5" s="8">
        <v>25000</v>
      </c>
      <c r="E5" s="8">
        <v>2100</v>
      </c>
      <c r="F5" s="8">
        <v>390</v>
      </c>
      <c r="G5" s="8">
        <v>12300</v>
      </c>
      <c r="H5" s="2"/>
      <c r="I5" s="2"/>
      <c r="J5" s="2"/>
      <c r="K5" s="2"/>
      <c r="L5" s="2"/>
      <c r="M5" s="2"/>
      <c r="N5" s="2"/>
      <c r="O5" s="2"/>
      <c r="P5" s="2"/>
      <c r="Q5" s="2"/>
      <c r="R5" s="2"/>
      <c r="S5" s="2"/>
      <c r="T5" s="2"/>
      <c r="U5" s="2"/>
      <c r="V5" s="2"/>
      <c r="W5" s="2"/>
      <c r="X5" s="2"/>
      <c r="Y5" s="2"/>
      <c r="Z5" s="2"/>
    </row>
    <row r="6" customHeight="1" spans="1:26">
      <c r="A6" s="2"/>
      <c r="B6" s="9" t="s">
        <v>10</v>
      </c>
      <c r="C6" s="10">
        <v>4500</v>
      </c>
      <c r="D6" s="10">
        <v>30000</v>
      </c>
      <c r="E6" s="10">
        <v>2800</v>
      </c>
      <c r="F6" s="10">
        <v>510</v>
      </c>
      <c r="G6" s="10">
        <v>15000</v>
      </c>
      <c r="H6" s="2"/>
      <c r="I6" s="2"/>
      <c r="J6" s="2"/>
      <c r="K6" s="2"/>
      <c r="L6" s="2"/>
      <c r="M6" s="2"/>
      <c r="N6" s="2"/>
      <c r="O6" s="2"/>
      <c r="P6" s="2"/>
      <c r="Q6" s="2"/>
      <c r="R6" s="2"/>
      <c r="S6" s="2"/>
      <c r="T6" s="2"/>
      <c r="U6" s="2"/>
      <c r="V6" s="2"/>
      <c r="W6" s="2"/>
      <c r="X6" s="2"/>
      <c r="Y6" s="2"/>
      <c r="Z6" s="2"/>
    </row>
    <row r="7" customHeight="1" spans="1:26">
      <c r="A7" s="2"/>
      <c r="B7" s="7" t="s">
        <v>11</v>
      </c>
      <c r="C7" s="8">
        <v>7500</v>
      </c>
      <c r="D7" s="8">
        <v>3200</v>
      </c>
      <c r="E7" s="8">
        <v>1150</v>
      </c>
      <c r="F7" s="8">
        <v>380</v>
      </c>
      <c r="G7" s="8">
        <v>11200</v>
      </c>
      <c r="H7" s="2"/>
      <c r="I7" s="2"/>
      <c r="J7" s="2"/>
      <c r="K7" s="2"/>
      <c r="L7" s="2"/>
      <c r="M7" s="2"/>
      <c r="N7" s="2"/>
      <c r="O7" s="2"/>
      <c r="P7" s="2"/>
      <c r="Q7" s="2"/>
      <c r="R7" s="2"/>
      <c r="S7" s="2"/>
      <c r="T7" s="2"/>
      <c r="U7" s="2"/>
      <c r="V7" s="2"/>
      <c r="W7" s="2"/>
      <c r="X7" s="2"/>
      <c r="Y7" s="2"/>
      <c r="Z7" s="2"/>
    </row>
    <row r="8" customHeight="1" spans="1:26">
      <c r="A8" s="2"/>
      <c r="B8" s="9" t="s">
        <v>12</v>
      </c>
      <c r="C8" s="10">
        <v>2000</v>
      </c>
      <c r="D8" s="10">
        <v>12000</v>
      </c>
      <c r="E8" s="10">
        <v>750</v>
      </c>
      <c r="F8" s="10">
        <v>180</v>
      </c>
      <c r="G8" s="10">
        <v>5400</v>
      </c>
      <c r="H8" s="2"/>
      <c r="I8" s="2"/>
      <c r="J8" s="2"/>
      <c r="K8" s="2"/>
      <c r="L8" s="2"/>
      <c r="M8" s="2"/>
      <c r="N8" s="2"/>
      <c r="O8" s="2"/>
      <c r="P8" s="2"/>
      <c r="Q8" s="2"/>
      <c r="R8" s="2"/>
      <c r="S8" s="2"/>
      <c r="T8" s="2"/>
      <c r="U8" s="2"/>
      <c r="V8" s="2"/>
      <c r="W8" s="2"/>
      <c r="X8" s="2"/>
      <c r="Y8" s="2"/>
      <c r="Z8" s="2"/>
    </row>
    <row r="9" customHeight="1" spans="1:26">
      <c r="A9" s="2"/>
      <c r="B9" s="7" t="s">
        <v>13</v>
      </c>
      <c r="C9" s="8">
        <v>3900</v>
      </c>
      <c r="D9" s="8">
        <v>14500</v>
      </c>
      <c r="E9" s="8">
        <v>900</v>
      </c>
      <c r="F9" s="8">
        <v>220</v>
      </c>
      <c r="G9" s="8">
        <v>6800</v>
      </c>
      <c r="H9" s="2"/>
      <c r="I9" s="2"/>
      <c r="J9" s="2"/>
      <c r="K9" s="2"/>
      <c r="L9" s="2"/>
      <c r="M9" s="2"/>
      <c r="N9" s="2"/>
      <c r="O9" s="2"/>
      <c r="P9" s="2"/>
      <c r="Q9" s="2"/>
      <c r="R9" s="2"/>
      <c r="S9" s="2"/>
      <c r="T9" s="2"/>
      <c r="U9" s="2"/>
      <c r="V9" s="2"/>
      <c r="W9" s="2"/>
      <c r="X9" s="2"/>
      <c r="Y9" s="2"/>
      <c r="Z9" s="2"/>
    </row>
    <row r="10" customHeight="1" spans="1:26">
      <c r="A10" s="2"/>
      <c r="B10" s="9" t="s">
        <v>14</v>
      </c>
      <c r="C10" s="10">
        <v>5700</v>
      </c>
      <c r="D10" s="10">
        <v>9800</v>
      </c>
      <c r="E10" s="10">
        <v>1300</v>
      </c>
      <c r="F10" s="10">
        <v>360</v>
      </c>
      <c r="G10" s="10">
        <v>10700</v>
      </c>
      <c r="H10" s="2"/>
      <c r="I10" s="2"/>
      <c r="J10" s="2"/>
      <c r="K10" s="2"/>
      <c r="L10" s="2"/>
      <c r="M10" s="2"/>
      <c r="N10" s="2"/>
      <c r="O10" s="2"/>
      <c r="P10" s="2"/>
      <c r="Q10" s="2"/>
      <c r="R10" s="2"/>
      <c r="S10" s="2"/>
      <c r="T10" s="2"/>
      <c r="U10" s="2"/>
      <c r="V10" s="2"/>
      <c r="W10" s="2"/>
      <c r="X10" s="2"/>
      <c r="Y10" s="2"/>
      <c r="Z10" s="2"/>
    </row>
    <row r="11" customHeight="1" spans="1:26">
      <c r="A11" s="2"/>
      <c r="B11" s="7" t="s">
        <v>15</v>
      </c>
      <c r="C11" s="8">
        <v>2800</v>
      </c>
      <c r="D11" s="8">
        <v>7500</v>
      </c>
      <c r="E11" s="8">
        <v>640</v>
      </c>
      <c r="F11" s="8">
        <v>150</v>
      </c>
      <c r="G11" s="8">
        <v>3900</v>
      </c>
      <c r="H11" s="2"/>
      <c r="I11" s="2"/>
      <c r="J11" s="2"/>
      <c r="K11" s="2"/>
      <c r="L11" s="2"/>
      <c r="M11" s="2"/>
      <c r="N11" s="2"/>
      <c r="O11" s="2"/>
      <c r="P11" s="2"/>
      <c r="Q11" s="2"/>
      <c r="R11" s="2"/>
      <c r="S11" s="2"/>
      <c r="T11" s="2"/>
      <c r="U11" s="2"/>
      <c r="V11" s="2"/>
      <c r="W11" s="2"/>
      <c r="X11" s="2"/>
      <c r="Y11" s="2"/>
      <c r="Z11" s="2"/>
    </row>
    <row r="12" customHeight="1" spans="1:26">
      <c r="A12" s="2"/>
      <c r="B12" s="2"/>
      <c r="C12" s="2"/>
      <c r="D12" s="2"/>
      <c r="E12" s="2"/>
      <c r="F12" s="2"/>
      <c r="G12" s="2"/>
      <c r="H12" s="2"/>
      <c r="I12" s="2"/>
      <c r="J12" s="2"/>
      <c r="K12" s="2"/>
      <c r="L12" s="2"/>
      <c r="M12" s="2"/>
      <c r="N12" s="2"/>
      <c r="O12" s="2"/>
      <c r="P12" s="2"/>
      <c r="Q12" s="2"/>
      <c r="R12" s="2"/>
      <c r="S12" s="2"/>
      <c r="T12" s="2"/>
      <c r="U12" s="2"/>
      <c r="V12" s="2"/>
      <c r="W12" s="2"/>
      <c r="X12" s="2"/>
      <c r="Y12" s="2"/>
      <c r="Z12" s="2"/>
    </row>
    <row r="13" customHeight="1" spans="1:26">
      <c r="A13" s="2"/>
      <c r="B13" s="11" t="s">
        <v>2</v>
      </c>
      <c r="C13" s="11" t="s">
        <v>16</v>
      </c>
      <c r="D13" s="11" t="s">
        <v>17</v>
      </c>
      <c r="E13" s="11" t="s">
        <v>18</v>
      </c>
      <c r="F13" s="2"/>
      <c r="G13" s="2"/>
      <c r="H13" s="2"/>
      <c r="I13" s="2"/>
      <c r="J13" s="2"/>
      <c r="K13" s="2"/>
      <c r="L13" s="2"/>
      <c r="M13" s="2"/>
      <c r="N13" s="2"/>
      <c r="O13" s="2"/>
      <c r="P13" s="2"/>
      <c r="Q13" s="2"/>
      <c r="R13" s="2"/>
      <c r="S13" s="2"/>
      <c r="T13" s="2"/>
      <c r="U13" s="2"/>
      <c r="V13" s="2"/>
      <c r="W13" s="2"/>
      <c r="X13" s="2"/>
      <c r="Y13" s="2"/>
      <c r="Z13" s="2"/>
    </row>
    <row r="14" customHeight="1" spans="1:26">
      <c r="A14" s="2"/>
      <c r="B14" s="9" t="s">
        <v>8</v>
      </c>
      <c r="C14" s="10">
        <f>320/1400</f>
        <v>0.228571428571429</v>
      </c>
      <c r="D14" s="10">
        <f>5200/320</f>
        <v>16.25</v>
      </c>
      <c r="E14" s="10" t="s">
        <v>19</v>
      </c>
      <c r="F14" s="2"/>
      <c r="G14" s="2"/>
      <c r="H14" s="2"/>
      <c r="I14" s="2"/>
      <c r="J14" s="2"/>
      <c r="K14" s="2"/>
      <c r="L14" s="2"/>
      <c r="M14" s="2"/>
      <c r="N14" s="2"/>
      <c r="O14" s="2"/>
      <c r="P14" s="2"/>
      <c r="Q14" s="2"/>
      <c r="R14" s="2"/>
      <c r="S14" s="2"/>
      <c r="T14" s="2"/>
      <c r="U14" s="2"/>
      <c r="V14" s="2"/>
      <c r="W14" s="2"/>
      <c r="X14" s="2"/>
      <c r="Y14" s="2"/>
      <c r="Z14" s="2"/>
    </row>
    <row r="15" customHeight="1" spans="1:26">
      <c r="A15" s="2"/>
      <c r="B15" s="7" t="s">
        <v>9</v>
      </c>
      <c r="C15" s="8">
        <f>390/2100</f>
        <v>0.185714285714286</v>
      </c>
      <c r="D15" s="8">
        <f>6800/390</f>
        <v>17.4358974358974</v>
      </c>
      <c r="E15" s="8" t="s">
        <v>20</v>
      </c>
      <c r="F15" s="2"/>
      <c r="G15" s="2"/>
      <c r="H15" s="2"/>
      <c r="I15" s="2"/>
      <c r="J15" s="2"/>
      <c r="K15" s="2"/>
      <c r="L15" s="2"/>
      <c r="M15" s="2"/>
      <c r="N15" s="2"/>
      <c r="O15" s="2"/>
      <c r="P15" s="2"/>
      <c r="Q15" s="2"/>
      <c r="R15" s="2"/>
      <c r="S15" s="2"/>
      <c r="T15" s="2"/>
      <c r="U15" s="2"/>
      <c r="V15" s="2"/>
      <c r="W15" s="2"/>
      <c r="X15" s="2"/>
      <c r="Y15" s="2"/>
      <c r="Z15" s="2"/>
    </row>
    <row r="16" customHeight="1" spans="1:26">
      <c r="A16" s="2"/>
      <c r="B16" s="9" t="s">
        <v>10</v>
      </c>
      <c r="C16" s="10">
        <f>510/2800</f>
        <v>0.182142857142857</v>
      </c>
      <c r="D16" s="10">
        <f>4500/510</f>
        <v>8.82352941176471</v>
      </c>
      <c r="E16" s="10" t="s">
        <v>21</v>
      </c>
      <c r="F16" s="2"/>
      <c r="G16" s="2"/>
      <c r="H16" s="2"/>
      <c r="I16" s="2"/>
      <c r="J16" s="2"/>
      <c r="K16" s="2"/>
      <c r="L16" s="2"/>
      <c r="M16" s="2"/>
      <c r="N16" s="2"/>
      <c r="O16" s="2"/>
      <c r="P16" s="2"/>
      <c r="Q16" s="2"/>
      <c r="R16" s="2"/>
      <c r="S16" s="2"/>
      <c r="T16" s="2"/>
      <c r="U16" s="2"/>
      <c r="V16" s="2"/>
      <c r="W16" s="2"/>
      <c r="X16" s="2"/>
      <c r="Y16" s="2"/>
      <c r="Z16" s="2"/>
    </row>
    <row r="17" customHeight="1" spans="1:26">
      <c r="A17" s="2"/>
      <c r="B17" s="7" t="s">
        <v>11</v>
      </c>
      <c r="C17" s="8">
        <f>380/1150</f>
        <v>0.330434782608696</v>
      </c>
      <c r="D17" s="8">
        <f>7500/380</f>
        <v>19.7368421052632</v>
      </c>
      <c r="E17" s="8" t="s">
        <v>22</v>
      </c>
      <c r="F17" s="2"/>
      <c r="G17" s="2"/>
      <c r="H17" s="2"/>
      <c r="I17" s="2"/>
      <c r="J17" s="2"/>
      <c r="K17" s="2"/>
      <c r="L17" s="2"/>
      <c r="M17" s="2"/>
      <c r="N17" s="2"/>
      <c r="O17" s="2"/>
      <c r="P17" s="2"/>
      <c r="Q17" s="2"/>
      <c r="R17" s="2"/>
      <c r="S17" s="2"/>
      <c r="T17" s="2"/>
      <c r="U17" s="2"/>
      <c r="V17" s="2"/>
      <c r="W17" s="2"/>
      <c r="X17" s="2"/>
      <c r="Y17" s="2"/>
      <c r="Z17" s="2"/>
    </row>
    <row r="18" customHeight="1" spans="1:26">
      <c r="A18" s="2"/>
      <c r="B18" s="9" t="s">
        <v>12</v>
      </c>
      <c r="C18" s="10">
        <f>180/750</f>
        <v>0.24</v>
      </c>
      <c r="D18" s="10">
        <f>2000/180</f>
        <v>11.1111111111111</v>
      </c>
      <c r="E18" s="10" t="s">
        <v>23</v>
      </c>
      <c r="F18" s="2"/>
      <c r="G18" s="2"/>
      <c r="H18" s="2"/>
      <c r="I18" s="2"/>
      <c r="J18" s="2"/>
      <c r="K18" s="2"/>
      <c r="L18" s="2"/>
      <c r="M18" s="2"/>
      <c r="N18" s="2"/>
      <c r="O18" s="2"/>
      <c r="P18" s="2"/>
      <c r="Q18" s="2"/>
      <c r="R18" s="2"/>
      <c r="S18" s="2"/>
      <c r="T18" s="2"/>
      <c r="U18" s="2"/>
      <c r="V18" s="2"/>
      <c r="W18" s="2"/>
      <c r="X18" s="2"/>
      <c r="Y18" s="2"/>
      <c r="Z18" s="2"/>
    </row>
    <row r="19" customHeight="1" spans="1:26">
      <c r="A19" s="2"/>
      <c r="B19" s="7" t="s">
        <v>13</v>
      </c>
      <c r="C19" s="8">
        <f>220/900</f>
        <v>0.244444444444444</v>
      </c>
      <c r="D19" s="8">
        <f>3900/220</f>
        <v>17.7272727272727</v>
      </c>
      <c r="E19" s="8" t="s">
        <v>24</v>
      </c>
      <c r="F19" s="2"/>
      <c r="G19" s="2"/>
      <c r="H19" s="2"/>
      <c r="I19" s="2"/>
      <c r="J19" s="2"/>
      <c r="K19" s="2"/>
      <c r="L19" s="2"/>
      <c r="M19" s="2"/>
      <c r="N19" s="2"/>
      <c r="O19" s="2"/>
      <c r="P19" s="2"/>
      <c r="Q19" s="2"/>
      <c r="R19" s="2"/>
      <c r="S19" s="2"/>
      <c r="T19" s="2"/>
      <c r="U19" s="2"/>
      <c r="V19" s="2"/>
      <c r="W19" s="2"/>
      <c r="X19" s="2"/>
      <c r="Y19" s="2"/>
      <c r="Z19" s="2"/>
    </row>
    <row r="20" customHeight="1" spans="1:26">
      <c r="A20" s="2"/>
      <c r="B20" s="9" t="s">
        <v>14</v>
      </c>
      <c r="C20" s="10">
        <f>360/1300</f>
        <v>0.276923076923077</v>
      </c>
      <c r="D20" s="10">
        <f>5700/360</f>
        <v>15.8333333333333</v>
      </c>
      <c r="E20" s="10" t="s">
        <v>25</v>
      </c>
      <c r="F20" s="2"/>
      <c r="G20" s="2"/>
      <c r="H20" s="2"/>
      <c r="I20" s="2"/>
      <c r="J20" s="2"/>
      <c r="K20" s="2"/>
      <c r="L20" s="2"/>
      <c r="M20" s="2"/>
      <c r="N20" s="2"/>
      <c r="O20" s="2"/>
      <c r="P20" s="2"/>
      <c r="Q20" s="2"/>
      <c r="R20" s="2"/>
      <c r="S20" s="2"/>
      <c r="T20" s="2"/>
      <c r="U20" s="2"/>
      <c r="V20" s="2"/>
      <c r="W20" s="2"/>
      <c r="X20" s="2"/>
      <c r="Y20" s="2"/>
      <c r="Z20" s="2"/>
    </row>
    <row r="21" customHeight="1" spans="1:26">
      <c r="A21" s="2"/>
      <c r="B21" s="7" t="s">
        <v>15</v>
      </c>
      <c r="C21" s="8">
        <f>150/640</f>
        <v>0.234375</v>
      </c>
      <c r="D21" s="8">
        <f>2800/150</f>
        <v>18.6666666666667</v>
      </c>
      <c r="E21" s="8" t="s">
        <v>26</v>
      </c>
      <c r="F21" s="2"/>
      <c r="G21" s="2"/>
      <c r="H21" s="2"/>
      <c r="I21" s="2"/>
      <c r="J21" s="2"/>
      <c r="K21" s="2"/>
      <c r="L21" s="2"/>
      <c r="M21" s="2"/>
      <c r="N21" s="2"/>
      <c r="O21" s="2"/>
      <c r="P21" s="2"/>
      <c r="Q21" s="2"/>
      <c r="R21" s="2"/>
      <c r="S21" s="2"/>
      <c r="T21" s="2"/>
      <c r="U21" s="2"/>
      <c r="V21" s="2"/>
      <c r="W21" s="2"/>
      <c r="X21" s="2"/>
      <c r="Y21" s="2"/>
      <c r="Z21" s="2"/>
    </row>
    <row r="22" customHeight="1" spans="1:26">
      <c r="A22" s="2"/>
      <c r="B22" s="2"/>
      <c r="C22" s="2"/>
      <c r="D22" s="2"/>
      <c r="E22" s="2"/>
      <c r="F22" s="2"/>
      <c r="G22" s="2"/>
      <c r="H22" s="2"/>
      <c r="I22" s="2"/>
      <c r="J22" s="2"/>
      <c r="K22" s="2"/>
      <c r="L22" s="2"/>
      <c r="M22" s="2"/>
      <c r="N22" s="2"/>
      <c r="O22" s="2"/>
      <c r="P22" s="2"/>
      <c r="Q22" s="2"/>
      <c r="R22" s="2"/>
      <c r="S22" s="2"/>
      <c r="T22" s="2"/>
      <c r="U22" s="2"/>
      <c r="V22" s="2"/>
      <c r="W22" s="2"/>
      <c r="X22" s="2"/>
      <c r="Y22" s="2"/>
      <c r="Z22" s="2"/>
    </row>
    <row r="23" customHeight="1" spans="1:26">
      <c r="A23" s="2"/>
      <c r="B23" s="12" t="s">
        <v>27</v>
      </c>
      <c r="C23" s="2"/>
      <c r="D23" s="2"/>
      <c r="E23" s="2"/>
      <c r="F23" s="2"/>
      <c r="G23" s="2"/>
      <c r="H23" s="2"/>
      <c r="I23" s="2"/>
      <c r="J23" s="2"/>
      <c r="K23" s="2"/>
      <c r="L23" s="2"/>
      <c r="M23" s="2"/>
      <c r="N23" s="2"/>
      <c r="O23" s="2"/>
      <c r="P23" s="2"/>
      <c r="Q23" s="2"/>
      <c r="R23" s="2"/>
      <c r="S23" s="2"/>
      <c r="T23" s="2"/>
      <c r="U23" s="2"/>
      <c r="V23" s="2"/>
      <c r="W23" s="2"/>
      <c r="X23" s="2"/>
      <c r="Y23" s="2"/>
      <c r="Z23" s="2"/>
    </row>
    <row r="24" customHeight="1" spans="1:26">
      <c r="A24" s="2"/>
      <c r="B24" s="4" t="s">
        <v>28</v>
      </c>
      <c r="C24" s="4" t="s">
        <v>16</v>
      </c>
      <c r="D24" s="4" t="s">
        <v>29</v>
      </c>
      <c r="E24" s="4" t="s">
        <v>30</v>
      </c>
      <c r="F24" s="2"/>
      <c r="G24" s="2"/>
      <c r="H24" s="2"/>
      <c r="I24" s="2"/>
      <c r="J24" s="2"/>
      <c r="K24" s="2"/>
      <c r="L24" s="2"/>
      <c r="M24" s="2"/>
      <c r="N24" s="2"/>
      <c r="O24" s="2"/>
      <c r="P24" s="2"/>
      <c r="Q24" s="2"/>
      <c r="R24" s="2"/>
      <c r="S24" s="2"/>
      <c r="T24" s="2"/>
      <c r="U24" s="2"/>
      <c r="V24" s="2"/>
      <c r="W24" s="2"/>
      <c r="X24" s="2"/>
      <c r="Y24" s="2"/>
      <c r="Z24" s="2"/>
    </row>
    <row r="25" customHeight="1" spans="1:26">
      <c r="A25" s="2"/>
      <c r="B25" s="5" t="s">
        <v>31</v>
      </c>
      <c r="C25" s="13">
        <v>0.2416</v>
      </c>
      <c r="D25" s="14">
        <v>15.7</v>
      </c>
      <c r="E25" s="6">
        <v>1.0244</v>
      </c>
      <c r="F25" s="2"/>
      <c r="G25" s="2"/>
      <c r="H25" s="2"/>
      <c r="I25" s="2"/>
      <c r="J25" s="2"/>
      <c r="K25" s="2"/>
      <c r="L25" s="2"/>
      <c r="M25" s="2"/>
      <c r="N25" s="2"/>
      <c r="O25" s="2"/>
      <c r="P25" s="2"/>
      <c r="Q25" s="2"/>
      <c r="R25" s="2"/>
      <c r="S25" s="2"/>
      <c r="T25" s="2"/>
      <c r="U25" s="2"/>
      <c r="V25" s="2"/>
      <c r="W25" s="2"/>
      <c r="X25" s="2"/>
      <c r="Y25" s="2"/>
      <c r="Z25" s="2"/>
    </row>
    <row r="26" customHeight="1" spans="1:26">
      <c r="A26" s="2"/>
      <c r="B26" s="7" t="s">
        <v>32</v>
      </c>
      <c r="C26" s="15">
        <v>0.1821</v>
      </c>
      <c r="D26" s="16">
        <v>8.82</v>
      </c>
      <c r="E26" s="8">
        <v>0.3929</v>
      </c>
      <c r="F26" s="2"/>
      <c r="G26" s="2"/>
      <c r="H26" s="2"/>
      <c r="I26" s="2"/>
      <c r="J26" s="2"/>
      <c r="K26" s="2"/>
      <c r="L26" s="2"/>
      <c r="M26" s="2"/>
      <c r="N26" s="2"/>
      <c r="O26" s="2"/>
      <c r="P26" s="2"/>
      <c r="Q26" s="2"/>
      <c r="R26" s="2"/>
      <c r="S26" s="2"/>
      <c r="T26" s="2"/>
      <c r="U26" s="2"/>
      <c r="V26" s="2"/>
      <c r="W26" s="2"/>
      <c r="X26" s="2"/>
      <c r="Y26" s="2"/>
      <c r="Z26" s="2"/>
    </row>
    <row r="27" customHeight="1" spans="1:26">
      <c r="A27" s="2"/>
      <c r="B27" s="9" t="s">
        <v>33</v>
      </c>
      <c r="C27" s="17">
        <v>0.3304</v>
      </c>
      <c r="D27" s="18">
        <v>19.74</v>
      </c>
      <c r="E27" s="10">
        <v>2.3333</v>
      </c>
      <c r="F27" s="2"/>
      <c r="G27" s="2"/>
      <c r="H27" s="2"/>
      <c r="I27" s="2"/>
      <c r="J27" s="2"/>
      <c r="K27" s="2"/>
      <c r="L27" s="2"/>
      <c r="M27" s="2"/>
      <c r="N27" s="2"/>
      <c r="O27" s="2"/>
      <c r="P27" s="2"/>
      <c r="Q27" s="2"/>
      <c r="R27" s="2"/>
      <c r="S27" s="2"/>
      <c r="T27" s="2"/>
      <c r="U27" s="2"/>
      <c r="V27" s="2"/>
      <c r="W27" s="2"/>
      <c r="X27" s="2"/>
      <c r="Y27" s="2"/>
      <c r="Z27" s="2"/>
    </row>
    <row r="28" customHeight="1" spans="1:26">
      <c r="A28" s="2"/>
      <c r="B28" s="2"/>
      <c r="C28" s="2"/>
      <c r="D28" s="2"/>
      <c r="E28" s="2"/>
      <c r="F28" s="2"/>
      <c r="G28" s="2"/>
      <c r="H28" s="2"/>
      <c r="I28" s="2"/>
      <c r="J28" s="2"/>
      <c r="K28" s="2"/>
      <c r="L28" s="2"/>
      <c r="M28" s="2"/>
      <c r="N28" s="2"/>
      <c r="O28" s="2"/>
      <c r="P28" s="2"/>
      <c r="Q28" s="2"/>
      <c r="R28" s="2"/>
      <c r="S28" s="2"/>
      <c r="T28" s="2"/>
      <c r="U28" s="2"/>
      <c r="V28" s="2"/>
      <c r="W28" s="2"/>
      <c r="X28" s="2"/>
      <c r="Y28" s="2"/>
      <c r="Z28" s="2"/>
    </row>
    <row r="29" customHeight="1"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customHeight="1"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customHeight="1"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customHeight="1"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customHeight="1"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customHeight="1"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customHeight="1"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customHeight="1"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customHeight="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customHeight="1"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customHeight="1"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customHeight="1"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customHeight="1"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customHeight="1"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customHeight="1"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customHeight="1"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customHeight="1"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Dataset</dc:title>
  <dc:creator>Apache POI</dc:creator>
  <cp:lastModifiedBy>Lenovo</cp:lastModifiedBy>
  <dcterms:created xsi:type="dcterms:W3CDTF">2025-08-07T19:32:00Z</dcterms:created>
  <dcterms:modified xsi:type="dcterms:W3CDTF">2026-09-01T17:24:42Z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46E405BA5B9B43C4B5743F9D4ED12E08_12</vt:lpwstr>
  </property>
  <property fmtid="{D5CDD505-2E9C-101B-9397-08002B2CF9AE}" pid="3" name="KSOProductBuildVer">
    <vt:lpwstr>1033-12.1.0.28032</vt:lpwstr>
  </property>
  <property fmtid="{D5CDD505-2E9C-101B-9397-08002B2CF9AE}" pid="4" name="CalculationRule">
    <vt:i4>0</vt:i4>
  </property>
</Properties>
</file>